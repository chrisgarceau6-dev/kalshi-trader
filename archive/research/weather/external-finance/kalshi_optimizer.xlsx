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<sst xmlns="http://schemas.openxmlformats.org/spreadsheetml/2006/main" count="93" uniqueCount="83">
  <si>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 xml:space="preserve">KALSHI NHL PLAYOFF 'NO' BET OPTIMIZER</t>
  </si>
  <si>
    <t xml:space="preserve">Enter bet sizes in Column C  |  Toggle playoff status in Column D  |  Use Solver to optimize (see Instructions tab)</t>
  </si>
  <si>
    <t xml:space="preserve">Team</t>
  </si>
  <si>
    <t xml:space="preserve">NO Odds</t>
  </si>
  <si>
    <t xml:space="preserve">Bet Size ($)</t>
  </si>
  <si>
    <t xml:space="preserve">Makes Playoffs?
(YES/NO)</t>
  </si>
  <si>
    <t xml:space="preserve">Win Multiplier</t>
  </si>
  <si>
    <t xml:space="preserve">Payout if WIN</t>
  </si>
  <si>
    <t xml:space="preserve">P&amp;L if WIN</t>
  </si>
  <si>
    <t xml:space="preserve">P&amp;L if LOSE</t>
  </si>
  <si>
    <t xml:space="preserve">Weighted P&amp;L*</t>
  </si>
  <si>
    <t xml:space="preserve">Implied Miss%</t>
  </si>
  <si>
    <t xml:space="preserve">Blue Jackets</t>
  </si>
  <si>
    <t xml:space="preserve">+105</t>
  </si>
  <si>
    <t xml:space="preserve">YES</t>
  </si>
  <si>
    <t xml:space="preserve">Islanders</t>
  </si>
  <si>
    <t xml:space="preserve">+101</t>
  </si>
  <si>
    <t xml:space="preserve">Kings</t>
  </si>
  <si>
    <t xml:space="preserve">-149</t>
  </si>
  <si>
    <t xml:space="preserve">NO</t>
  </si>
  <si>
    <t xml:space="preserve">Senators</t>
  </si>
  <si>
    <t xml:space="preserve">Flyers</t>
  </si>
  <si>
    <t xml:space="preserve">-263</t>
  </si>
  <si>
    <t xml:space="preserve">Sharks</t>
  </si>
  <si>
    <t xml:space="preserve">-277</t>
  </si>
  <si>
    <t xml:space="preserve">Predators</t>
  </si>
  <si>
    <t xml:space="preserve">-323</t>
  </si>
  <si>
    <t xml:space="preserve">Red Wings</t>
  </si>
  <si>
    <t xml:space="preserve">-306</t>
  </si>
  <si>
    <t xml:space="preserve">Capitals</t>
  </si>
  <si>
    <t xml:space="preserve">-565</t>
  </si>
  <si>
    <t xml:space="preserve">Jets</t>
  </si>
  <si>
    <t xml:space="preserve">Total Wagered ($)</t>
  </si>
  <si>
    <t xml:space="preserve">Current Scenario P&amp;L</t>
  </si>
  <si>
    <t xml:space="preserve">All Bets Win (best case)</t>
  </si>
  <si>
    <t xml:space="preserve">All Bets Lose (worst)</t>
  </si>
  <si>
    <t xml:space="preserve">Expected Weighted P&amp;L</t>
  </si>
  <si>
    <t xml:space="preserve"># Active Bets</t>
  </si>
  <si>
    <t xml:space="preserve">⚙  SOLVER SETUP  →  Objective: Maximize C16 (Current Scenario P&amp;L)  |  Variables: C4:C13  |  Constraints: C4:C13 ≥ 0,  C18 ≥ 0 (All-Lose P&amp;L ≥ 0),  SUM(C4:C13) ≤ [budget]</t>
  </si>
  <si>
    <t xml:space="preserve">💡  TIP: Worst-case constraint (All Bets Lose ≥ 0) is impossible unless you bet $0. Use a soft floor like ≥ -$50, or constrain total budget instead.</t>
  </si>
  <si>
    <t xml:space="preserve">SOLVER SETUP GUIDE — Kalshi NHL Playoff NO-Bet Optimizer</t>
  </si>
  <si>
    <t xml:space="preserve">OBJECTIVE</t>
  </si>
  <si>
    <t xml:space="preserve">Maximize: Cell C16 (Current Scenario P&amp;L)</t>
  </si>
  <si>
    <t xml:space="preserve">This cell sums your P&amp;L given the YES/NO toggles in Column D of the Portfolio sheet.</t>
  </si>
  <si>
    <t xml:space="preserve">VARIABLE CELLS</t>
  </si>
  <si>
    <t xml:space="preserve">C4:C13 — Your bet sizes. Solver will find the optimal dollar amount for each team.</t>
  </si>
  <si>
    <t xml:space="preserve">CONSTRAINTS</t>
  </si>
  <si>
    <t xml:space="preserve">1.  C4:C13 &gt;= 0   →   No negative bets (can't short a bet)</t>
  </si>
  <si>
    <t xml:space="preserve">2.  SUM(C4:C13) &lt;= [your total budget, e.g. 300]   →   Limits total exposure</t>
  </si>
  <si>
    <t xml:space="preserve">3.  C18 &gt;= -[your max loss tolerance, e.g. -50]   →   Soft floor on worst-case</t>
  </si>
  <si>
    <t xml:space="preserve">    Note: Setting worst-case &gt;= 0 forces all bets to $0. Use a realistic floor like -$50 or -$100.</t>
  </si>
  <si>
    <t xml:space="preserve">HOW TO RUN SOLVER IN EXCEL</t>
  </si>
  <si>
    <t xml:space="preserve">1.  Data tab → Solver (if not visible: File → Options → Add-ins → Solver Add-in → Go)</t>
  </si>
  <si>
    <t xml:space="preserve">2.  Set Objective: click the Current Scenario P&amp;L cell → Max</t>
  </si>
  <si>
    <t xml:space="preserve">3.  By Changing Variable Cells: select C4:C13</t>
  </si>
  <si>
    <t xml:space="preserve">4.  Add constraints as listed above</t>
  </si>
  <si>
    <t xml:space="preserve">5.  Select GRG Nonlinear or Simplex LP solving method</t>
  </si>
  <si>
    <t xml:space="preserve">6.  Click Solve</t>
  </si>
  <si>
    <t xml:space="preserve">HOW TO RUN SOLVER IN GOOGLE SHEETS</t>
  </si>
  <si>
    <t xml:space="preserve">Google Sheets does not have a native Solver. Options:</t>
  </si>
  <si>
    <t xml:space="preserve">  A. Use Extensions → Add-ons → Get add-ons → search 'Solver' (OpenSolver or similar)</t>
  </si>
  <si>
    <t xml:space="preserve">  B. Use the manual suggested sizing in the Portfolio sheet as a starting point</t>
  </si>
  <si>
    <t xml:space="preserve">  C. Export to Excel (.xlsx) and run Solver there</t>
  </si>
  <si>
    <t xml:space="preserve">UNDERSTANDING THE COLUMNS</t>
  </si>
  <si>
    <t xml:space="preserve">B - NO Odds:        The Kalshi market odds for the NO (misses playoffs) contract</t>
  </si>
  <si>
    <t xml:space="preserve">C - Bet Size:       How much you're risking on that NO bet (YELLOW = Solver variable)</t>
  </si>
  <si>
    <t xml:space="preserve">D - Makes Playoffs: Toggle YES/NO to simulate different playoff outcomes</t>
  </si>
  <si>
    <t xml:space="preserve">E - Win Multiplier: Your profit per $1 risked if the NO bet wins</t>
  </si>
  <si>
    <t xml:space="preserve">F - Payout if WIN:  Total cash returned if this NO bet wins</t>
  </si>
  <si>
    <t xml:space="preserve">G - P&amp;L if WIN:     Net profit/loss given current D toggle</t>
  </si>
  <si>
    <t xml:space="preserve">H - P&amp;L if LOSE:    Net profit/loss in the opposite scenario</t>
  </si>
  <si>
    <t xml:space="preserve">I - Weighted P&amp;L:   G × Implied Miss% — expected value contribution</t>
  </si>
  <si>
    <t xml:space="preserve">J - Implied Miss%:  Probability the market implies this team misses playoffs</t>
  </si>
  <si>
    <t xml:space="preserve">SUGGESTED MANUAL SIZING (no Solver)</t>
  </si>
  <si>
    <t xml:space="preserve">Primary targets (most likely to miss, decent odds):</t>
  </si>
  <si>
    <t xml:space="preserve">  Senators -149:   $40  →  profit $26.85 if they miss</t>
  </si>
  <si>
    <t xml:space="preserve">  Red Wings -306:  $35  →  profit $11.44 if they miss</t>
  </si>
  <si>
    <t xml:space="preserve">  Flyers -263:     $35  →  profit $13.31 if they miss</t>
  </si>
  <si>
    <t xml:space="preserve">  Sharks -277:     $30  →  profit $10.83 if they miss</t>
  </si>
  <si>
    <t xml:space="preserve">  Predators -323:  $25  →  profit $7.74 if they miss</t>
  </si>
  <si>
    <t xml:space="preserve">  Capitals -565:   $20  →  profit $3.54 if they miss</t>
  </si>
  <si>
    <t xml:space="preserve">  Total: $185 wagered. If all 6 miss: +$73.71 profit.</t>
  </si>
  <si>
    <t xml:space="preserve">  If 5/6 miss and 1 loses: still likely profitable depending on which 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</si>
</sst>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\x"/>
    <numFmt numFmtId="166" formatCode="\$#,##0.00;&quot;($&quot;#,##0.00\);\-"/>
    <numFmt numFmtId="167" formatCode="0.0%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D700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i val="true"/>
      <sz val="9"/>
      <color rgb="FFAA0000"/>
      <name val="Arial"/>
      <family val="0"/>
      <charset val="1"/>
    </font>
    <font>
      <b val="true"/>
      <sz val="14"/>
      <color rgb="FFFFD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AA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AAAAAA"/>
      <rgbColor rgb="FF16213E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10" min="5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1.75" hidden="false" customHeight="true" outlineLevel="0" collapsed="false">
      <c r="A4" s="4" t="s">
        <v>12</v>
      </c>
      <c r="B4" s="5" t="s">
        <v>13</v>
      </c>
      <c r="C4" s="6" t="n">
        <v>0</v>
      </c>
      <c r="D4" s="7" t="s">
        <v>14</v>
      </c>
      <c r="E4" s="8" t="n">
        <f aca="false">IF(LEFT(B4,1)="+",VALUE(MID(B4,2,10))/100,100/ABS(VALUE(MID(B4,2,10))))</f>
        <v>1.05</v>
      </c>
      <c r="F4" s="9" t="n">
        <f aca="false">IF(UPPER(D4)="NO",C4*(1+E4),0)</f>
        <v>0</v>
      </c>
      <c r="G4" s="9" t="n">
        <f aca="false">IF(UPPER(D4)="NO",C4*E4,-C4)</f>
        <v>-0</v>
      </c>
      <c r="H4" s="9" t="n">
        <f aca="false">IF(UPPER(D4)="NO",-C4,C4*E4)</f>
        <v>0</v>
      </c>
      <c r="I4" s="9" t="n">
        <f aca="false">G4*J4</f>
        <v>-0</v>
      </c>
      <c r="J4" s="10" t="n">
        <f aca="false">IF(LEFT(B4,1)="+",VALUE(MID(B4,2,10))/(VALUE(MID(B4,2,10))+100),100/(ABS(VALUE(MID(B4,2,10)))+100))</f>
        <v>0.51219512195122</v>
      </c>
    </row>
    <row r="5" customFormat="false" ht="21.75" hidden="false" customHeight="true" outlineLevel="0" collapsed="false">
      <c r="A5" s="11" t="s">
        <v>15</v>
      </c>
      <c r="B5" s="5" t="s">
        <v>16</v>
      </c>
      <c r="C5" s="6" t="n">
        <v>0</v>
      </c>
      <c r="D5" s="7" t="s">
        <v>14</v>
      </c>
      <c r="E5" s="8" t="n">
        <f aca="false">IF(LEFT(B5,1)="+",VALUE(MID(B5,2,10))/100,100/ABS(VALUE(MID(B5,2,10))))</f>
        <v>1.01</v>
      </c>
      <c r="F5" s="9" t="n">
        <f aca="false">IF(UPPER(D5)="NO",C5*(1+E5),0)</f>
        <v>0</v>
      </c>
      <c r="G5" s="9" t="n">
        <f aca="false">IF(UPPER(D5)="NO",C5*E5,-C5)</f>
        <v>-0</v>
      </c>
      <c r="H5" s="9" t="n">
        <f aca="false">IF(UPPER(D5)="NO",-C5,C5*E5)</f>
        <v>0</v>
      </c>
      <c r="I5" s="9" t="n">
        <f aca="false">G5*J5</f>
        <v>-0</v>
      </c>
      <c r="J5" s="10" t="n">
        <f aca="false">IF(LEFT(B5,1)="+",VALUE(MID(B5,2,10))/(VALUE(MID(B5,2,10))+100),100/(ABS(VALUE(MID(B5,2,10)))+100))</f>
        <v>0.502487562189055</v>
      </c>
    </row>
    <row r="6" customFormat="false" ht="21.75" hidden="false" customHeight="true" outlineLevel="0" collapsed="false">
      <c r="A6" s="4" t="s">
        <v>17</v>
      </c>
      <c r="B6" s="5" t="s">
        <v>18</v>
      </c>
      <c r="C6" s="6" t="n">
        <v>0</v>
      </c>
      <c r="D6" s="12" t="s">
        <v>19</v>
      </c>
      <c r="E6" s="8" t="n">
        <f aca="false">IF(LEFT(B6,1)="+",VALUE(MID(B6,2,10))/100,100/ABS(VALUE(MID(B6,2,10))))</f>
        <v>0.671140939597316</v>
      </c>
      <c r="F6" s="9" t="n">
        <f aca="false">IF(UPPER(D6)="NO",C6*(1+E6),0)</f>
        <v>0</v>
      </c>
      <c r="G6" s="9" t="n">
        <f aca="false">IF(UPPER(D6)="NO",C6*E6,-C6)</f>
        <v>0</v>
      </c>
      <c r="H6" s="9" t="n">
        <f aca="false">IF(UPPER(D6)="NO",-C6,C6*E6)</f>
        <v>-0</v>
      </c>
      <c r="I6" s="9" t="n">
        <f aca="false">G6*J6</f>
        <v>0</v>
      </c>
      <c r="J6" s="10" t="n">
        <f aca="false">IF(LEFT(B6,1)="+",VALUE(MID(B6,2,10))/(VALUE(MID(B6,2,10))+100),100/(ABS(VALUE(MID(B6,2,10)))+100))</f>
        <v>0.401606425702811</v>
      </c>
    </row>
    <row r="7" customFormat="false" ht="21.75" hidden="false" customHeight="true" outlineLevel="0" collapsed="false">
      <c r="A7" s="11" t="s">
        <v>20</v>
      </c>
      <c r="B7" s="5" t="s">
        <v>18</v>
      </c>
      <c r="C7" s="6" t="n">
        <v>40</v>
      </c>
      <c r="D7" s="7" t="s">
        <v>14</v>
      </c>
      <c r="E7" s="8" t="n">
        <f aca="false">IF(LEFT(B7,1)="+",VALUE(MID(B7,2,10))/100,100/ABS(VALUE(MID(B7,2,10))))</f>
        <v>0.671140939597316</v>
      </c>
      <c r="F7" s="9" t="n">
        <f aca="false">IF(UPPER(D7)="NO",C7*(1+E7),0)</f>
        <v>0</v>
      </c>
      <c r="G7" s="9" t="n">
        <f aca="false">IF(UPPER(D7)="NO",C7*E7,-C7)</f>
        <v>-40</v>
      </c>
      <c r="H7" s="9" t="n">
        <f aca="false">IF(UPPER(D7)="NO",-C7,C7*E7)</f>
        <v>26.8456375838926</v>
      </c>
      <c r="I7" s="9" t="n">
        <f aca="false">G7*J7</f>
        <v>-16.0642570281125</v>
      </c>
      <c r="J7" s="10" t="n">
        <f aca="false">IF(LEFT(B7,1)="+",VALUE(MID(B7,2,10))/(VALUE(MID(B7,2,10))+100),100/(ABS(VALUE(MID(B7,2,10)))+100))</f>
        <v>0.401606425702811</v>
      </c>
    </row>
    <row r="8" customFormat="false" ht="21.75" hidden="false" customHeight="true" outlineLevel="0" collapsed="false">
      <c r="A8" s="4" t="s">
        <v>21</v>
      </c>
      <c r="B8" s="5" t="s">
        <v>22</v>
      </c>
      <c r="C8" s="6" t="n">
        <v>35</v>
      </c>
      <c r="D8" s="12" t="s">
        <v>19</v>
      </c>
      <c r="E8" s="8" t="n">
        <f aca="false">IF(LEFT(B8,1)="+",VALUE(MID(B8,2,10))/100,100/ABS(VALUE(MID(B8,2,10))))</f>
        <v>0.380228136882129</v>
      </c>
      <c r="F8" s="9" t="n">
        <f aca="false">IF(UPPER(D8)="NO",C8*(1+E8),0)</f>
        <v>48.3079847908745</v>
      </c>
      <c r="G8" s="9" t="n">
        <f aca="false">IF(UPPER(D8)="NO",C8*E8,-C8)</f>
        <v>13.3079847908745</v>
      </c>
      <c r="H8" s="9" t="n">
        <f aca="false">IF(UPPER(D8)="NO",-C8,C8*E8)</f>
        <v>-35</v>
      </c>
      <c r="I8" s="9" t="n">
        <f aca="false">G8*J8</f>
        <v>3.66611151263761</v>
      </c>
      <c r="J8" s="10" t="n">
        <f aca="false">IF(LEFT(B8,1)="+",VALUE(MID(B8,2,10))/(VALUE(MID(B8,2,10))+100),100/(ABS(VALUE(MID(B8,2,10)))+100))</f>
        <v>0.275482093663912</v>
      </c>
    </row>
    <row r="9" customFormat="false" ht="21.75" hidden="false" customHeight="true" outlineLevel="0" collapsed="false">
      <c r="A9" s="11" t="s">
        <v>23</v>
      </c>
      <c r="B9" s="5" t="s">
        <v>24</v>
      </c>
      <c r="C9" s="6" t="n">
        <v>30</v>
      </c>
      <c r="D9" s="12" t="s">
        <v>19</v>
      </c>
      <c r="E9" s="8" t="n">
        <f aca="false">IF(LEFT(B9,1)="+",VALUE(MID(B9,2,10))/100,100/ABS(VALUE(MID(B9,2,10))))</f>
        <v>0.36101083032491</v>
      </c>
      <c r="F9" s="9" t="n">
        <f aca="false">IF(UPPER(D9)="NO",C9*(1+E9),0)</f>
        <v>40.8303249097473</v>
      </c>
      <c r="G9" s="9" t="n">
        <f aca="false">IF(UPPER(D9)="NO",C9*E9,-C9)</f>
        <v>10.8303249097473</v>
      </c>
      <c r="H9" s="9" t="n">
        <f aca="false">IF(UPPER(D9)="NO",-C9,C9*E9)</f>
        <v>-30</v>
      </c>
      <c r="I9" s="9" t="n">
        <f aca="false">G9*J9</f>
        <v>2.87276522804968</v>
      </c>
      <c r="J9" s="10" t="n">
        <f aca="false">IF(LEFT(B9,1)="+",VALUE(MID(B9,2,10))/(VALUE(MID(B9,2,10))+100),100/(ABS(VALUE(MID(B9,2,10)))+100))</f>
        <v>0.26525198938992</v>
      </c>
    </row>
    <row r="10" customFormat="false" ht="21.75" hidden="false" customHeight="true" outlineLevel="0" collapsed="false">
      <c r="A10" s="4" t="s">
        <v>25</v>
      </c>
      <c r="B10" s="5" t="s">
        <v>26</v>
      </c>
      <c r="C10" s="6" t="n">
        <v>25</v>
      </c>
      <c r="D10" s="7" t="s">
        <v>14</v>
      </c>
      <c r="E10" s="8" t="n">
        <f aca="false">IF(LEFT(B10,1)="+",VALUE(MID(B10,2,10))/100,100/ABS(VALUE(MID(B10,2,10))))</f>
        <v>0.309597523219814</v>
      </c>
      <c r="F10" s="9" t="n">
        <f aca="false">IF(UPPER(D10)="NO",C10*(1+E10),0)</f>
        <v>0</v>
      </c>
      <c r="G10" s="9" t="n">
        <f aca="false">IF(UPPER(D10)="NO",C10*E10,-C10)</f>
        <v>-25</v>
      </c>
      <c r="H10" s="9" t="n">
        <f aca="false">IF(UPPER(D10)="NO",-C10,C10*E10)</f>
        <v>7.73993808049536</v>
      </c>
      <c r="I10" s="9" t="n">
        <f aca="false">G10*J10</f>
        <v>-5.91016548463357</v>
      </c>
      <c r="J10" s="10" t="n">
        <f aca="false">IF(LEFT(B10,1)="+",VALUE(MID(B10,2,10))/(VALUE(MID(B10,2,10))+100),100/(ABS(VALUE(MID(B10,2,10)))+100))</f>
        <v>0.236406619385343</v>
      </c>
    </row>
    <row r="11" customFormat="false" ht="21.75" hidden="false" customHeight="true" outlineLevel="0" collapsed="false">
      <c r="A11" s="11" t="s">
        <v>27</v>
      </c>
      <c r="B11" s="5" t="s">
        <v>28</v>
      </c>
      <c r="C11" s="6" t="n">
        <v>35</v>
      </c>
      <c r="D11" s="12" t="s">
        <v>19</v>
      </c>
      <c r="E11" s="8" t="n">
        <f aca="false">IF(LEFT(B11,1)="+",VALUE(MID(B11,2,10))/100,100/ABS(VALUE(MID(B11,2,10))))</f>
        <v>0.326797385620915</v>
      </c>
      <c r="F11" s="9" t="n">
        <f aca="false">IF(UPPER(D11)="NO",C11*(1+E11),0)</f>
        <v>46.437908496732</v>
      </c>
      <c r="G11" s="9" t="n">
        <f aca="false">IF(UPPER(D11)="NO",C11*E11,-C11)</f>
        <v>11.437908496732</v>
      </c>
      <c r="H11" s="9" t="n">
        <f aca="false">IF(UPPER(D11)="NO",-C11,C11*E11)</f>
        <v>-35</v>
      </c>
      <c r="I11" s="9" t="n">
        <f aca="false">G11*J11</f>
        <v>2.81721884155961</v>
      </c>
      <c r="J11" s="10" t="n">
        <f aca="false">IF(LEFT(B11,1)="+",VALUE(MID(B11,2,10))/(VALUE(MID(B11,2,10))+100),100/(ABS(VALUE(MID(B11,2,10)))+100))</f>
        <v>0.246305418719212</v>
      </c>
    </row>
    <row r="12" customFormat="false" ht="21.75" hidden="false" customHeight="true" outlineLevel="0" collapsed="false">
      <c r="A12" s="4" t="s">
        <v>29</v>
      </c>
      <c r="B12" s="5" t="s">
        <v>30</v>
      </c>
      <c r="C12" s="6" t="n">
        <v>20</v>
      </c>
      <c r="D12" s="12" t="s">
        <v>19</v>
      </c>
      <c r="E12" s="8" t="n">
        <f aca="false">IF(LEFT(B12,1)="+",VALUE(MID(B12,2,10))/100,100/ABS(VALUE(MID(B12,2,10))))</f>
        <v>0.176991150442478</v>
      </c>
      <c r="F12" s="9" t="n">
        <f aca="false">IF(UPPER(D12)="NO",C12*(1+E12),0)</f>
        <v>23.5398230088496</v>
      </c>
      <c r="G12" s="9" t="n">
        <f aca="false">IF(UPPER(D12)="NO",C12*E12,-C12)</f>
        <v>3.53982300884956</v>
      </c>
      <c r="H12" s="9" t="n">
        <f aca="false">IF(UPPER(D12)="NO",-C12,C12*E12)</f>
        <v>-20</v>
      </c>
      <c r="I12" s="9" t="n">
        <f aca="false">G12*J12</f>
        <v>0.532304211857076</v>
      </c>
      <c r="J12" s="10" t="n">
        <f aca="false">IF(LEFT(B12,1)="+",VALUE(MID(B12,2,10))/(VALUE(MID(B12,2,10))+100),100/(ABS(VALUE(MID(B12,2,10)))+100))</f>
        <v>0.150375939849624</v>
      </c>
    </row>
    <row r="13" customFormat="false" ht="21.75" hidden="false" customHeight="true" outlineLevel="0" collapsed="false">
      <c r="A13" s="11" t="s">
        <v>31</v>
      </c>
      <c r="B13" s="5" t="s">
        <v>30</v>
      </c>
      <c r="C13" s="6" t="n">
        <v>0</v>
      </c>
      <c r="D13" s="12" t="s">
        <v>19</v>
      </c>
      <c r="E13" s="8" t="n">
        <f aca="false">IF(LEFT(B13,1)="+",VALUE(MID(B13,2,10))/100,100/ABS(VALUE(MID(B13,2,10))))</f>
        <v>0.176991150442478</v>
      </c>
      <c r="F13" s="9" t="n">
        <f aca="false">IF(UPPER(D13)="NO",C13*(1+E13),0)</f>
        <v>0</v>
      </c>
      <c r="G13" s="9" t="n">
        <f aca="false">IF(UPPER(D13)="NO",C13*E13,-C13)</f>
        <v>0</v>
      </c>
      <c r="H13" s="9" t="n">
        <f aca="false">IF(UPPER(D13)="NO",-C13,C13*E13)</f>
        <v>-0</v>
      </c>
      <c r="I13" s="9" t="n">
        <f aca="false">G13*J13</f>
        <v>0</v>
      </c>
      <c r="J13" s="10" t="n">
        <f aca="false">IF(LEFT(B13,1)="+",VALUE(MID(B13,2,10))/(VALUE(MID(B13,2,10))+100),100/(ABS(VALUE(MID(B13,2,10)))+100))</f>
        <v>0.150375939849624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13" t="s">
        <v>32</v>
      </c>
      <c r="B15" s="13"/>
      <c r="C15" s="14" t="n">
        <f aca="false">SUM(C4:C13)</f>
        <v>185</v>
      </c>
      <c r="D15" s="15"/>
      <c r="E15" s="15"/>
      <c r="F15" s="15"/>
      <c r="G15" s="15"/>
      <c r="H15" s="15"/>
      <c r="I15" s="15"/>
      <c r="J15" s="15"/>
    </row>
    <row r="16" customFormat="false" ht="21.75" hidden="false" customHeight="true" outlineLevel="0" collapsed="false">
      <c r="A16" s="13" t="s">
        <v>33</v>
      </c>
      <c r="B16" s="13"/>
      <c r="C16" s="14" t="n">
        <f aca="false">SUM(G4:G13)</f>
        <v>-25.8839587937966</v>
      </c>
      <c r="D16" s="15"/>
      <c r="E16" s="15"/>
      <c r="F16" s="15"/>
      <c r="G16" s="15"/>
      <c r="H16" s="15"/>
      <c r="I16" s="15"/>
      <c r="J16" s="15"/>
    </row>
    <row r="17" customFormat="false" ht="21.75" hidden="false" customHeight="true" outlineLevel="0" collapsed="false">
      <c r="A17" s="13" t="s">
        <v>34</v>
      </c>
      <c r="B17" s="13"/>
      <c r="C17" s="14" t="n">
        <f aca="false">SUMPRODUCT(C4:C13,E4:E13)</f>
        <v>73.7016168705914</v>
      </c>
      <c r="D17" s="15"/>
      <c r="E17" s="15"/>
      <c r="F17" s="15"/>
      <c r="G17" s="15"/>
      <c r="H17" s="15"/>
      <c r="I17" s="15"/>
      <c r="J17" s="15"/>
    </row>
    <row r="18" customFormat="false" ht="21.75" hidden="false" customHeight="true" outlineLevel="0" collapsed="false">
      <c r="A18" s="13" t="s">
        <v>35</v>
      </c>
      <c r="B18" s="13"/>
      <c r="C18" s="14" t="n">
        <f aca="false">-SUM(C4:C13)</f>
        <v>-185</v>
      </c>
      <c r="D18" s="15"/>
      <c r="E18" s="15"/>
      <c r="F18" s="15"/>
      <c r="G18" s="15"/>
      <c r="H18" s="15"/>
      <c r="I18" s="15"/>
      <c r="J18" s="15"/>
    </row>
    <row r="19" customFormat="false" ht="21.75" hidden="false" customHeight="true" outlineLevel="0" collapsed="false">
      <c r="A19" s="13" t="s">
        <v>36</v>
      </c>
      <c r="B19" s="13"/>
      <c r="C19" s="14" t="n">
        <f aca="false">SUM(I4:I13)</f>
        <v>-12.086022718642</v>
      </c>
      <c r="D19" s="15"/>
      <c r="E19" s="15"/>
      <c r="F19" s="15"/>
      <c r="G19" s="15"/>
      <c r="H19" s="15"/>
      <c r="I19" s="15"/>
      <c r="J19" s="15"/>
    </row>
    <row r="20" customFormat="false" ht="21.75" hidden="false" customHeight="true" outlineLevel="0" collapsed="false">
      <c r="A20" s="13" t="s">
        <v>37</v>
      </c>
      <c r="B20" s="13"/>
      <c r="C20" s="16" t="n">
        <f aca="false">COUNTIF(C4:C13,"&gt;"&amp;0)</f>
        <v>6</v>
      </c>
      <c r="D20" s="15"/>
      <c r="E20" s="15"/>
      <c r="F20" s="15"/>
      <c r="G20" s="15"/>
      <c r="H20" s="15"/>
      <c r="I20" s="15"/>
      <c r="J20" s="15"/>
    </row>
    <row r="23" customFormat="false" ht="18" hidden="false" customHeight="true" outlineLevel="0" collapsed="false">
      <c r="A23" s="17" t="s">
        <v>38</v>
      </c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8" hidden="false" customHeight="true" outlineLevel="0" collapsed="false">
      <c r="A24" s="18" t="s">
        <v>39</v>
      </c>
      <c r="B24" s="18"/>
      <c r="C24" s="18"/>
      <c r="D24" s="18"/>
      <c r="E24" s="18"/>
      <c r="F24" s="18"/>
      <c r="G24" s="18"/>
      <c r="H24" s="18"/>
      <c r="I24" s="18"/>
      <c r="J24" s="18"/>
    </row>
  </sheetData>
  <mergeCells count="16">
    <mergeCell ref="A1:J1"/>
    <mergeCell ref="A2:J2"/>
    <mergeCell ref="A15:B15"/>
    <mergeCell ref="D15:J15"/>
    <mergeCell ref="A16:B16"/>
    <mergeCell ref="D16:J16"/>
    <mergeCell ref="A17:B17"/>
    <mergeCell ref="D17:J17"/>
    <mergeCell ref="A18:B18"/>
    <mergeCell ref="D18:J18"/>
    <mergeCell ref="A19:B19"/>
    <mergeCell ref="D19:J19"/>
    <mergeCell ref="A20:B20"/>
    <mergeCell ref="D20:J20"/>
    <mergeCell ref="A23:J2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5" hidden="false" customHeight="true" outlineLevel="0" collapsed="false">
      <c r="A1" s="19" t="s">
        <v>40</v>
      </c>
    </row>
    <row r="2" customFormat="false" ht="19.5" hidden="false" customHeight="true" outlineLevel="0" collapsed="false">
      <c r="A2" s="20"/>
    </row>
    <row r="3" customFormat="false" ht="19.5" hidden="false" customHeight="true" outlineLevel="0" collapsed="false">
      <c r="A3" s="21" t="s">
        <v>41</v>
      </c>
    </row>
    <row r="4" customFormat="false" ht="19.5" hidden="false" customHeight="true" outlineLevel="0" collapsed="false">
      <c r="A4" s="22" t="s">
        <v>42</v>
      </c>
    </row>
    <row r="5" customFormat="false" ht="19.5" hidden="false" customHeight="true" outlineLevel="0" collapsed="false">
      <c r="A5" s="20" t="s">
        <v>43</v>
      </c>
    </row>
    <row r="6" customFormat="false" ht="19.5" hidden="false" customHeight="true" outlineLevel="0" collapsed="false">
      <c r="A6" s="20"/>
    </row>
    <row r="7" customFormat="false" ht="19.5" hidden="false" customHeight="true" outlineLevel="0" collapsed="false">
      <c r="A7" s="21" t="s">
        <v>44</v>
      </c>
    </row>
    <row r="8" customFormat="false" ht="19.5" hidden="false" customHeight="true" outlineLevel="0" collapsed="false">
      <c r="A8" s="22" t="s">
        <v>45</v>
      </c>
    </row>
    <row r="9" customFormat="false" ht="19.5" hidden="false" customHeight="true" outlineLevel="0" collapsed="false">
      <c r="A9" s="20"/>
    </row>
    <row r="10" customFormat="false" ht="19.5" hidden="false" customHeight="true" outlineLevel="0" collapsed="false">
      <c r="A10" s="21" t="s">
        <v>46</v>
      </c>
    </row>
    <row r="11" customFormat="false" ht="19.5" hidden="false" customHeight="true" outlineLevel="0" collapsed="false">
      <c r="A11" s="22" t="s">
        <v>47</v>
      </c>
    </row>
    <row r="12" customFormat="false" ht="19.5" hidden="false" customHeight="true" outlineLevel="0" collapsed="false">
      <c r="A12" s="20" t="s">
        <v>48</v>
      </c>
    </row>
    <row r="13" customFormat="false" ht="19.5" hidden="false" customHeight="true" outlineLevel="0" collapsed="false">
      <c r="A13" s="22" t="s">
        <v>49</v>
      </c>
    </row>
    <row r="14" customFormat="false" ht="19.5" hidden="false" customHeight="true" outlineLevel="0" collapsed="false">
      <c r="A14" s="23" t="s">
        <v>50</v>
      </c>
    </row>
    <row r="15" customFormat="false" ht="19.5" hidden="false" customHeight="true" outlineLevel="0" collapsed="false">
      <c r="A15" s="20"/>
    </row>
    <row r="16" customFormat="false" ht="19.5" hidden="false" customHeight="true" outlineLevel="0" collapsed="false">
      <c r="A16" s="21" t="s">
        <v>51</v>
      </c>
    </row>
    <row r="17" customFormat="false" ht="19.5" hidden="false" customHeight="true" outlineLevel="0" collapsed="false">
      <c r="A17" s="22" t="s">
        <v>52</v>
      </c>
    </row>
    <row r="18" customFormat="false" ht="19.5" hidden="false" customHeight="true" outlineLevel="0" collapsed="false">
      <c r="A18" s="20" t="s">
        <v>53</v>
      </c>
    </row>
    <row r="19" customFormat="false" ht="19.5" hidden="false" customHeight="true" outlineLevel="0" collapsed="false">
      <c r="A19" s="22" t="s">
        <v>54</v>
      </c>
    </row>
    <row r="20" customFormat="false" ht="19.5" hidden="false" customHeight="true" outlineLevel="0" collapsed="false">
      <c r="A20" s="20" t="s">
        <v>55</v>
      </c>
    </row>
    <row r="21" customFormat="false" ht="19.5" hidden="false" customHeight="true" outlineLevel="0" collapsed="false">
      <c r="A21" s="22" t="s">
        <v>56</v>
      </c>
    </row>
    <row r="22" customFormat="false" ht="19.5" hidden="false" customHeight="true" outlineLevel="0" collapsed="false">
      <c r="A22" s="20" t="s">
        <v>57</v>
      </c>
    </row>
    <row r="23" customFormat="false" ht="19.5" hidden="false" customHeight="true" outlineLevel="0" collapsed="false">
      <c r="A23" s="20"/>
    </row>
    <row r="24" customFormat="false" ht="19.5" hidden="false" customHeight="true" outlineLevel="0" collapsed="false">
      <c r="A24" s="21" t="s">
        <v>58</v>
      </c>
    </row>
    <row r="25" customFormat="false" ht="19.5" hidden="false" customHeight="true" outlineLevel="0" collapsed="false">
      <c r="A25" s="22" t="s">
        <v>59</v>
      </c>
    </row>
    <row r="26" customFormat="false" ht="19.5" hidden="false" customHeight="true" outlineLevel="0" collapsed="false">
      <c r="A26" s="20" t="s">
        <v>60</v>
      </c>
    </row>
    <row r="27" customFormat="false" ht="19.5" hidden="false" customHeight="true" outlineLevel="0" collapsed="false">
      <c r="A27" s="22" t="s">
        <v>61</v>
      </c>
    </row>
    <row r="28" customFormat="false" ht="19.5" hidden="false" customHeight="true" outlineLevel="0" collapsed="false">
      <c r="A28" s="20" t="s">
        <v>62</v>
      </c>
    </row>
    <row r="29" customFormat="false" ht="19.5" hidden="false" customHeight="true" outlineLevel="0" collapsed="false">
      <c r="A29" s="20"/>
    </row>
    <row r="30" customFormat="false" ht="19.5" hidden="false" customHeight="true" outlineLevel="0" collapsed="false">
      <c r="A30" s="21" t="s">
        <v>63</v>
      </c>
    </row>
    <row r="31" customFormat="false" ht="19.5" hidden="false" customHeight="true" outlineLevel="0" collapsed="false">
      <c r="A31" s="22" t="s">
        <v>64</v>
      </c>
    </row>
    <row r="32" customFormat="false" ht="19.5" hidden="false" customHeight="true" outlineLevel="0" collapsed="false">
      <c r="A32" s="20" t="s">
        <v>65</v>
      </c>
    </row>
    <row r="33" customFormat="false" ht="19.5" hidden="false" customHeight="true" outlineLevel="0" collapsed="false">
      <c r="A33" s="22" t="s">
        <v>66</v>
      </c>
    </row>
    <row r="34" customFormat="false" ht="19.5" hidden="false" customHeight="true" outlineLevel="0" collapsed="false">
      <c r="A34" s="20" t="s">
        <v>67</v>
      </c>
    </row>
    <row r="35" customFormat="false" ht="19.5" hidden="false" customHeight="true" outlineLevel="0" collapsed="false">
      <c r="A35" s="22" t="s">
        <v>68</v>
      </c>
    </row>
    <row r="36" customFormat="false" ht="19.5" hidden="false" customHeight="true" outlineLevel="0" collapsed="false">
      <c r="A36" s="20" t="s">
        <v>69</v>
      </c>
    </row>
    <row r="37" customFormat="false" ht="19.5" hidden="false" customHeight="true" outlineLevel="0" collapsed="false">
      <c r="A37" s="22" t="s">
        <v>70</v>
      </c>
    </row>
    <row r="38" customFormat="false" ht="19.5" hidden="false" customHeight="true" outlineLevel="0" collapsed="false">
      <c r="A38" s="20" t="s">
        <v>71</v>
      </c>
    </row>
    <row r="39" customFormat="false" ht="19.5" hidden="false" customHeight="true" outlineLevel="0" collapsed="false">
      <c r="A39" s="22" t="s">
        <v>72</v>
      </c>
    </row>
    <row r="40" customFormat="false" ht="19.5" hidden="false" customHeight="true" outlineLevel="0" collapsed="false">
      <c r="A40" s="20"/>
    </row>
    <row r="41" customFormat="false" ht="19.5" hidden="false" customHeight="true" outlineLevel="0" collapsed="false">
      <c r="A41" s="21" t="s">
        <v>73</v>
      </c>
    </row>
    <row r="42" customFormat="false" ht="19.5" hidden="false" customHeight="true" outlineLevel="0" collapsed="false">
      <c r="A42" s="22" t="s">
        <v>74</v>
      </c>
    </row>
    <row r="43" customFormat="false" ht="19.5" hidden="false" customHeight="true" outlineLevel="0" collapsed="false">
      <c r="A43" s="20" t="s">
        <v>75</v>
      </c>
    </row>
    <row r="44" customFormat="false" ht="19.5" hidden="false" customHeight="true" outlineLevel="0" collapsed="false">
      <c r="A44" s="22" t="s">
        <v>76</v>
      </c>
    </row>
    <row r="45" customFormat="false" ht="19.5" hidden="false" customHeight="true" outlineLevel="0" collapsed="false">
      <c r="A45" s="20" t="s">
        <v>77</v>
      </c>
    </row>
    <row r="46" customFormat="false" ht="19.5" hidden="false" customHeight="true" outlineLevel="0" collapsed="false">
      <c r="A46" s="22" t="s">
        <v>78</v>
      </c>
    </row>
    <row r="47" customFormat="false" ht="19.5" hidden="false" customHeight="true" outlineLevel="0" collapsed="false">
      <c r="A47" s="20" t="s">
        <v>79</v>
      </c>
    </row>
    <row r="48" customFormat="false" ht="19.5" hidden="false" customHeight="true" outlineLevel="0" collapsed="false">
      <c r="A48" s="22" t="s">
        <v>80</v>
      </c>
    </row>
    <row r="49" customFormat="false" ht="19.5" hidden="false" customHeight="true" outlineLevel="0" collapsed="false">
      <c r="A49" s="20" t="s">
        <v>81</v>
      </c>
    </row>
    <row r="50" customFormat="false" ht="19.5" hidden="false" customHeight="true" outlineLevel="0" collapsed="false">
      <c r="A50" s="2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2026-04-01T23:44:45Z</dcterms:created>
  <dc:creator>openpyxl</dc:creator>
  <dc:description/>
  <dc:language>en-US</dc:language>
  <cp:lastModifiedBy/>
  <dcterms:modified xsi:type="dcterms:W3CDTF">2026-04-01T23:44:45Z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